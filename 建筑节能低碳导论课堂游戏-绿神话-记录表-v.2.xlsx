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A0D8700-5F93-4489-B765-03D7543C44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2" l="1"/>
  <c r="Y8" i="2" s="1"/>
  <c r="Y9" i="2" s="1"/>
  <c r="Y10" i="2" s="1"/>
  <c r="Y11" i="2" s="1"/>
  <c r="P7" i="2"/>
  <c r="P8" i="2" s="1"/>
  <c r="P9" i="2" s="1"/>
  <c r="P10" i="2" s="1"/>
  <c r="P11" i="2" s="1"/>
  <c r="G7" i="2"/>
  <c r="H7" i="2" s="1"/>
  <c r="AF7" i="2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A7" i="2"/>
  <c r="AA8" i="2" s="1"/>
  <c r="R7" i="2"/>
  <c r="R8" i="2" s="1"/>
  <c r="R9" i="2" s="1"/>
  <c r="R10" i="2" s="1"/>
  <c r="R11" i="2" s="1"/>
  <c r="I7" i="2"/>
  <c r="AH6" i="2"/>
  <c r="AG6" i="2"/>
  <c r="Z7" i="2" l="1"/>
  <c r="G8" i="2"/>
  <c r="H8" i="2" s="1"/>
  <c r="H9" i="2" s="1"/>
  <c r="AF22" i="2"/>
  <c r="AF23" i="2" s="1"/>
  <c r="AF24" i="2" s="1"/>
  <c r="AF25" i="2" s="1"/>
  <c r="AA9" i="2"/>
  <c r="AA10" i="2" s="1"/>
  <c r="AA11" i="2" s="1"/>
  <c r="Y12" i="2"/>
  <c r="Y13" i="2" s="1"/>
  <c r="Y14" i="2" s="1"/>
  <c r="Y15" i="2" s="1"/>
  <c r="Y16" i="2" s="1"/>
  <c r="Y17" i="2" s="1"/>
  <c r="Y18" i="2" s="1"/>
  <c r="Y19" i="2" s="1"/>
  <c r="P12" i="2"/>
  <c r="P13" i="2" s="1"/>
  <c r="P14" i="2" s="1"/>
  <c r="P15" i="2" s="1"/>
  <c r="P16" i="2" s="1"/>
  <c r="P17" i="2" s="1"/>
  <c r="P18" i="2" s="1"/>
  <c r="P19" i="2" s="1"/>
  <c r="Z8" i="2"/>
  <c r="Z9" i="2" s="1"/>
  <c r="Z10" i="2" s="1"/>
  <c r="Z11" i="2" s="1"/>
  <c r="AH7" i="2"/>
  <c r="R12" i="2"/>
  <c r="R13" i="2" s="1"/>
  <c r="R14" i="2" s="1"/>
  <c r="R15" i="2" s="1"/>
  <c r="R16" i="2" s="1"/>
  <c r="R17" i="2" s="1"/>
  <c r="R18" i="2" s="1"/>
  <c r="R19" i="2" s="1"/>
  <c r="I8" i="2"/>
  <c r="AH8" i="2" s="1"/>
  <c r="Q7" i="2"/>
  <c r="G9" i="2" l="1"/>
  <c r="G10" i="2" s="1"/>
  <c r="G11" i="2" s="1"/>
  <c r="R20" i="2"/>
  <c r="R21" i="2" s="1"/>
  <c r="R22" i="2" s="1"/>
  <c r="R23" i="2" s="1"/>
  <c r="R24" i="2" s="1"/>
  <c r="R25" i="2" s="1"/>
  <c r="R3" i="2" s="1"/>
  <c r="Y20" i="2"/>
  <c r="Y21" i="2" s="1"/>
  <c r="Y22" i="2" s="1"/>
  <c r="Y23" i="2" s="1"/>
  <c r="Y24" i="2" s="1"/>
  <c r="Y25" i="2" s="1"/>
  <c r="P20" i="2"/>
  <c r="P21" i="2" s="1"/>
  <c r="G12" i="2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AA12" i="2"/>
  <c r="AA13" i="2" s="1"/>
  <c r="AA14" i="2" s="1"/>
  <c r="AA15" i="2" s="1"/>
  <c r="AA16" i="2" s="1"/>
  <c r="AA17" i="2" s="1"/>
  <c r="AA18" i="2" s="1"/>
  <c r="AA19" i="2" s="1"/>
  <c r="Z12" i="2"/>
  <c r="Z13" i="2" s="1"/>
  <c r="Z14" i="2" s="1"/>
  <c r="Z15" i="2" s="1"/>
  <c r="Z16" i="2" s="1"/>
  <c r="Z17" i="2" s="1"/>
  <c r="Z18" i="2" s="1"/>
  <c r="Z19" i="2" s="1"/>
  <c r="AG7" i="2"/>
  <c r="Q8" i="2"/>
  <c r="Q9" i="2" s="1"/>
  <c r="I9" i="2"/>
  <c r="H10" i="2" l="1"/>
  <c r="H11" i="2" s="1"/>
  <c r="Z20" i="2"/>
  <c r="Z21" i="2" s="1"/>
  <c r="Z22" i="2" s="1"/>
  <c r="Z23" i="2" s="1"/>
  <c r="Z24" i="2" s="1"/>
  <c r="Z25" i="2" s="1"/>
  <c r="P22" i="2"/>
  <c r="P23" i="2" s="1"/>
  <c r="P24" i="2" s="1"/>
  <c r="P25" i="2" s="1"/>
  <c r="AH9" i="2"/>
  <c r="I10" i="2"/>
  <c r="AA20" i="2"/>
  <c r="AA21" i="2" s="1"/>
  <c r="AA22" i="2" s="1"/>
  <c r="AA23" i="2" s="1"/>
  <c r="AA24" i="2" s="1"/>
  <c r="AA25" i="2" s="1"/>
  <c r="AA3" i="2" s="1"/>
  <c r="Q10" i="2"/>
  <c r="Q11" i="2" s="1"/>
  <c r="AG11" i="2" s="1"/>
  <c r="Q12" i="2"/>
  <c r="Q13" i="2" s="1"/>
  <c r="Q14" i="2" s="1"/>
  <c r="Q15" i="2" s="1"/>
  <c r="Q16" i="2" s="1"/>
  <c r="Q17" i="2" s="1"/>
  <c r="Q18" i="2" s="1"/>
  <c r="Q19" i="2" s="1"/>
  <c r="AG9" i="2"/>
  <c r="AG8" i="2"/>
  <c r="H12" i="2"/>
  <c r="H13" i="2" s="1"/>
  <c r="AA27" i="2" l="1"/>
  <c r="Z3" i="2"/>
  <c r="Q20" i="2"/>
  <c r="Q21" i="2" s="1"/>
  <c r="Q22" i="2" s="1"/>
  <c r="Q23" i="2" s="1"/>
  <c r="Q24" i="2" s="1"/>
  <c r="Q25" i="2" s="1"/>
  <c r="I11" i="2"/>
  <c r="AH11" i="2" s="1"/>
  <c r="AH10" i="2"/>
  <c r="I12" i="2"/>
  <c r="AG12" i="2"/>
  <c r="AG10" i="2"/>
  <c r="H14" i="2"/>
  <c r="AG13" i="2"/>
  <c r="Q3" i="2" l="1"/>
  <c r="R27" i="2"/>
  <c r="I13" i="2"/>
  <c r="AH12" i="2"/>
  <c r="AG14" i="2"/>
  <c r="H15" i="2"/>
  <c r="H16" i="2" s="1"/>
  <c r="H17" i="2" s="1"/>
  <c r="H18" i="2" s="1"/>
  <c r="AH13" i="2" l="1"/>
  <c r="I14" i="2"/>
  <c r="AG15" i="2"/>
  <c r="I15" i="2" l="1"/>
  <c r="AH14" i="2"/>
  <c r="AG16" i="2"/>
  <c r="AH15" i="2" l="1"/>
  <c r="I16" i="2"/>
  <c r="AG17" i="2"/>
  <c r="I17" i="2" l="1"/>
  <c r="AH16" i="2"/>
  <c r="AG18" i="2"/>
  <c r="H19" i="2"/>
  <c r="H20" i="2" s="1"/>
  <c r="H21" i="2" l="1"/>
  <c r="AG20" i="2"/>
  <c r="AH17" i="2"/>
  <c r="I18" i="2"/>
  <c r="AG19" i="2"/>
  <c r="H22" i="2" l="1"/>
  <c r="H23" i="2" s="1"/>
  <c r="H24" i="2" s="1"/>
  <c r="H25" i="2" s="1"/>
  <c r="AH18" i="2"/>
  <c r="I19" i="2"/>
  <c r="AG21" i="2"/>
  <c r="I20" i="2" l="1"/>
  <c r="AH19" i="2"/>
  <c r="AG22" i="2"/>
  <c r="AH20" i="2" l="1"/>
  <c r="I21" i="2"/>
  <c r="AG23" i="2"/>
  <c r="I22" i="2" l="1"/>
  <c r="AH21" i="2"/>
  <c r="AG24" i="2"/>
  <c r="I23" i="2" l="1"/>
  <c r="AH22" i="2"/>
  <c r="AG25" i="2"/>
  <c r="AG3" i="2" s="1"/>
  <c r="H3" i="2"/>
  <c r="I24" i="2" l="1"/>
  <c r="AH23" i="2"/>
  <c r="I25" i="2" l="1"/>
  <c r="AH24" i="2"/>
  <c r="I27" i="2" l="1"/>
  <c r="I3" i="2"/>
  <c r="AH25" i="2"/>
  <c r="AH3" i="2" s="1"/>
</calcChain>
</file>

<file path=xl/sharedStrings.xml><?xml version="1.0" encoding="utf-8"?>
<sst xmlns="http://schemas.openxmlformats.org/spreadsheetml/2006/main" count="150" uniqueCount="42">
  <si>
    <t>时间</t>
    <phoneticPr fontId="1" type="noConversion"/>
  </si>
  <si>
    <t>1月</t>
    <phoneticPr fontId="1" type="noConversion"/>
  </si>
  <si>
    <t>投资</t>
    <phoneticPr fontId="1" type="noConversion"/>
  </si>
  <si>
    <t>收入</t>
    <phoneticPr fontId="1" type="noConversion"/>
  </si>
  <si>
    <t>经济值</t>
    <phoneticPr fontId="1" type="noConversion"/>
  </si>
  <si>
    <t>生态变动</t>
    <phoneticPr fontId="1" type="noConversion"/>
  </si>
  <si>
    <t>生态值</t>
    <phoneticPr fontId="1" type="noConversion"/>
  </si>
  <si>
    <t>初始</t>
    <phoneticPr fontId="1" type="noConversion"/>
  </si>
  <si>
    <t>企业1</t>
    <phoneticPr fontId="1" type="noConversion"/>
  </si>
  <si>
    <t>收入变动</t>
    <phoneticPr fontId="1" type="noConversion"/>
  </si>
  <si>
    <t>结果</t>
    <phoneticPr fontId="1" type="noConversion"/>
  </si>
  <si>
    <t>企业3</t>
    <phoneticPr fontId="1" type="noConversion"/>
  </si>
  <si>
    <t>企业2</t>
    <phoneticPr fontId="1" type="noConversion"/>
  </si>
  <si>
    <t>政府奖励</t>
    <phoneticPr fontId="1" type="noConversion"/>
  </si>
  <si>
    <t>11月</t>
    <phoneticPr fontId="1" type="noConversion"/>
  </si>
  <si>
    <t>政府奖惩</t>
    <phoneticPr fontId="1" type="noConversion"/>
  </si>
  <si>
    <t>12月</t>
    <phoneticPr fontId="1" type="noConversion"/>
  </si>
  <si>
    <t>政府奖惩</t>
    <phoneticPr fontId="1" type="noConversion"/>
  </si>
  <si>
    <t>选项</t>
    <phoneticPr fontId="1" type="noConversion"/>
  </si>
  <si>
    <t>政府奖惩</t>
    <phoneticPr fontId="1" type="noConversion"/>
  </si>
  <si>
    <t>政府资金</t>
    <phoneticPr fontId="1" type="noConversion"/>
  </si>
  <si>
    <t>总经济</t>
    <phoneticPr fontId="1" type="noConversion"/>
  </si>
  <si>
    <t>总生态</t>
    <phoneticPr fontId="1" type="noConversion"/>
  </si>
  <si>
    <t>财政值</t>
    <phoneticPr fontId="1" type="noConversion"/>
  </si>
  <si>
    <t>财政变动</t>
    <phoneticPr fontId="1" type="noConversion"/>
  </si>
  <si>
    <t>政府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</si>
  <si>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</si>
  <si>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</si>
  <si>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</si>
  <si>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</si>
  <si>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</si>
  <si>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</si>
  <si>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</si>
  <si>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</si>
  <si>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</si>
  <si>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9月</t>
    <phoneticPr fontId="1" type="noConversion"/>
  </si>
  <si>
    <t>10月</t>
    <phoneticPr fontId="1" type="noConversion"/>
  </si>
  <si>
    <t>事件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</si>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</sst>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9"/>
  <sheetViews>
    <sheetView tabSelected="1" zoomScale="85" zoomScaleNormal="85" workbookViewId="0">
      <selection activeCell="AG3" sqref="AG3:AH3"/>
    </sheetView>
  </sheetViews>
  <sheetFormatPr defaultColWidth="8.58203125" defaultRowHeight="16.5" x14ac:dyDescent="0.3"/>
  <cols>
    <col min="1" max="1" width="2.25" style="3" customWidth="1"/>
    <col min="2" max="2" width="12.08203125" style="3" bestFit="1" customWidth="1"/>
    <col min="3" max="3" width="3.08203125" style="3" customWidth="1"/>
    <col min="4" max="6" width="6.33203125" style="3" customWidth="1"/>
    <col min="7" max="7" width="5" style="3" bestFit="1" customWidth="1"/>
    <col min="8" max="9" width="6.83203125" style="3" bestFit="1" customWidth="1"/>
    <col min="10" max="10" width="2.25" style="3" customWidth="1"/>
    <col min="11" max="11" width="10.83203125" style="3" customWidth="1"/>
    <col min="12" max="12" width="3.33203125" style="3" customWidth="1"/>
    <col min="13" max="15" width="6.08203125" style="3" customWidth="1"/>
    <col min="16" max="16" width="5" style="3" bestFit="1" customWidth="1"/>
    <col min="17" max="18" width="6.83203125" style="3" bestFit="1" customWidth="1"/>
    <col min="19" max="19" width="4.08203125" style="3" customWidth="1"/>
    <col min="20" max="20" width="10.83203125" style="3" customWidth="1"/>
    <col min="21" max="21" width="3.33203125" style="3" customWidth="1"/>
    <col min="22" max="24" width="7.33203125" style="3" customWidth="1"/>
    <col min="25" max="25" width="5" style="3" bestFit="1" customWidth="1"/>
    <col min="26" max="27" width="6.83203125" style="3" bestFit="1" customWidth="1"/>
    <col min="28" max="28" width="6.83203125" style="3" customWidth="1"/>
    <col min="29" max="29" width="15" style="3" customWidth="1"/>
    <col min="30" max="30" width="6.08203125" style="3" customWidth="1"/>
    <col min="31" max="31" width="8.08203125" style="3" customWidth="1"/>
    <col min="32" max="32" width="10.58203125" style="3" customWidth="1"/>
    <col min="33" max="33" width="7.83203125" style="3" customWidth="1"/>
    <col min="34" max="34" width="9.83203125" style="3" customWidth="1"/>
    <col min="35" max="16384" width="8.58203125" style="3"/>
  </cols>
  <sheetData>
    <row r="1" spans="2:34" ht="17" thickBot="1" x14ac:dyDescent="0.35"/>
    <row r="2" spans="2:34" x14ac:dyDescent="0.3">
      <c r="B2" s="41" t="s">
        <v>8</v>
      </c>
      <c r="C2" s="42"/>
      <c r="D2" s="42"/>
      <c r="E2" s="1"/>
      <c r="F2" s="1"/>
      <c r="G2" s="35" t="s">
        <v>10</v>
      </c>
      <c r="H2" s="1" t="s">
        <v>4</v>
      </c>
      <c r="I2" s="13" t="s">
        <v>6</v>
      </c>
      <c r="K2" s="45" t="s">
        <v>12</v>
      </c>
      <c r="L2" s="46"/>
      <c r="M2" s="46"/>
      <c r="N2" s="1"/>
      <c r="O2" s="1"/>
      <c r="P2" s="35" t="s">
        <v>10</v>
      </c>
      <c r="Q2" s="1" t="s">
        <v>4</v>
      </c>
      <c r="R2" s="13" t="s">
        <v>6</v>
      </c>
      <c r="T2" s="49" t="s">
        <v>11</v>
      </c>
      <c r="U2" s="50"/>
      <c r="V2" s="50"/>
      <c r="W2" s="1"/>
      <c r="X2" s="1"/>
      <c r="Y2" s="35" t="s">
        <v>10</v>
      </c>
      <c r="Z2" s="1" t="s">
        <v>4</v>
      </c>
      <c r="AA2" s="13" t="s">
        <v>6</v>
      </c>
      <c r="AB2" s="2"/>
      <c r="AC2" s="37" t="s">
        <v>25</v>
      </c>
      <c r="AD2" s="38"/>
      <c r="AE2" s="1"/>
      <c r="AF2" s="1"/>
      <c r="AG2" s="2" t="s">
        <v>21</v>
      </c>
      <c r="AH2" s="5" t="s">
        <v>22</v>
      </c>
    </row>
    <row r="3" spans="2:34" x14ac:dyDescent="0.3">
      <c r="B3" s="43"/>
      <c r="C3" s="44"/>
      <c r="D3" s="44"/>
      <c r="E3" s="2"/>
      <c r="F3" s="2"/>
      <c r="G3" s="36"/>
      <c r="H3" s="23">
        <f>H25</f>
        <v>166</v>
      </c>
      <c r="I3" s="29">
        <f>I25</f>
        <v>90</v>
      </c>
      <c r="K3" s="47"/>
      <c r="L3" s="48"/>
      <c r="M3" s="48"/>
      <c r="N3" s="2"/>
      <c r="O3" s="2"/>
      <c r="P3" s="36"/>
      <c r="Q3" s="23">
        <f>Q25</f>
        <v>91</v>
      </c>
      <c r="R3" s="29">
        <f>R25</f>
        <v>65</v>
      </c>
      <c r="T3" s="51"/>
      <c r="U3" s="52"/>
      <c r="V3" s="52"/>
      <c r="W3" s="2"/>
      <c r="X3" s="2"/>
      <c r="Y3" s="36"/>
      <c r="Z3" s="23">
        <f>Z25</f>
        <v>164</v>
      </c>
      <c r="AA3" s="29">
        <f>AA25</f>
        <v>70</v>
      </c>
      <c r="AC3" s="39"/>
      <c r="AD3" s="40"/>
      <c r="AE3" s="23"/>
      <c r="AF3" s="23"/>
      <c r="AG3" s="23">
        <f>AG25</f>
        <v>421</v>
      </c>
      <c r="AH3" s="30">
        <f>AH25</f>
        <v>225</v>
      </c>
    </row>
    <row r="4" spans="2:34" customFormat="1" x14ac:dyDescent="0.3">
      <c r="B4" s="14"/>
      <c r="I4" s="15"/>
      <c r="K4" s="14"/>
      <c r="R4" s="15"/>
      <c r="T4" s="14"/>
      <c r="AA4" s="15"/>
      <c r="AB4" s="3"/>
      <c r="AC4" s="14"/>
      <c r="AH4" s="15"/>
    </row>
    <row r="5" spans="2:34" x14ac:dyDescent="0.3">
      <c r="B5" s="4" t="s">
        <v>0</v>
      </c>
      <c r="C5" s="2" t="s">
        <v>18</v>
      </c>
      <c r="D5" s="2" t="s">
        <v>2</v>
      </c>
      <c r="E5" s="2" t="s">
        <v>9</v>
      </c>
      <c r="F5" s="2" t="s">
        <v>5</v>
      </c>
      <c r="G5" s="2" t="s">
        <v>3</v>
      </c>
      <c r="H5" s="2" t="s">
        <v>4</v>
      </c>
      <c r="I5" s="5" t="s">
        <v>6</v>
      </c>
      <c r="K5" s="4" t="s">
        <v>0</v>
      </c>
      <c r="L5" s="2" t="s">
        <v>18</v>
      </c>
      <c r="M5" s="2" t="s">
        <v>2</v>
      </c>
      <c r="N5" s="2" t="s">
        <v>9</v>
      </c>
      <c r="O5" s="2" t="s">
        <v>5</v>
      </c>
      <c r="P5" s="2" t="s">
        <v>3</v>
      </c>
      <c r="Q5" s="2" t="s">
        <v>4</v>
      </c>
      <c r="R5" s="5" t="s">
        <v>6</v>
      </c>
      <c r="T5" s="4" t="s">
        <v>0</v>
      </c>
      <c r="U5" s="2" t="s">
        <v>18</v>
      </c>
      <c r="V5" s="2" t="s">
        <v>2</v>
      </c>
      <c r="W5" s="2" t="s">
        <v>9</v>
      </c>
      <c r="X5" s="2" t="s">
        <v>5</v>
      </c>
      <c r="Y5" s="2" t="s">
        <v>3</v>
      </c>
      <c r="Z5" s="2" t="s">
        <v>4</v>
      </c>
      <c r="AA5" s="5" t="s">
        <v>6</v>
      </c>
      <c r="AC5" s="4" t="s">
        <v>0</v>
      </c>
      <c r="AD5" s="2" t="s">
        <v>18</v>
      </c>
      <c r="AE5" s="2" t="s">
        <v>24</v>
      </c>
      <c r="AF5" s="2" t="s">
        <v>23</v>
      </c>
      <c r="AG5" s="2" t="s">
        <v>21</v>
      </c>
      <c r="AH5" s="5" t="s">
        <v>22</v>
      </c>
    </row>
    <row r="6" spans="2:34" x14ac:dyDescent="0.3">
      <c r="B6" s="4" t="s">
        <v>7</v>
      </c>
      <c r="C6" s="2"/>
      <c r="D6" s="10">
        <v>0</v>
      </c>
      <c r="E6" s="10">
        <v>0</v>
      </c>
      <c r="F6" s="10">
        <v>0</v>
      </c>
      <c r="G6" s="2"/>
      <c r="H6" s="20">
        <v>60</v>
      </c>
      <c r="I6" s="11">
        <v>60</v>
      </c>
      <c r="K6" s="4" t="s">
        <v>7</v>
      </c>
      <c r="L6" s="2"/>
      <c r="M6" s="10">
        <v>0</v>
      </c>
      <c r="N6" s="10">
        <v>0</v>
      </c>
      <c r="O6" s="10">
        <v>0</v>
      </c>
      <c r="P6" s="2"/>
      <c r="Q6" s="20">
        <v>60</v>
      </c>
      <c r="R6" s="11">
        <v>60</v>
      </c>
      <c r="T6" s="4" t="s">
        <v>7</v>
      </c>
      <c r="U6" s="2"/>
      <c r="V6" s="10">
        <v>0</v>
      </c>
      <c r="W6" s="10">
        <v>0</v>
      </c>
      <c r="X6" s="10">
        <v>0</v>
      </c>
      <c r="Y6" s="2"/>
      <c r="Z6" s="20">
        <v>60</v>
      </c>
      <c r="AA6" s="11">
        <v>60</v>
      </c>
      <c r="AC6" s="4" t="s">
        <v>7</v>
      </c>
      <c r="AD6" s="2"/>
      <c r="AE6" s="2"/>
      <c r="AF6" s="24">
        <v>100</v>
      </c>
      <c r="AG6" s="3">
        <f t="shared" ref="AG6:AH10" si="0">SUM(H6,Q6,Z6)</f>
        <v>180</v>
      </c>
      <c r="AH6" s="30">
        <f t="shared" si="0"/>
        <v>180</v>
      </c>
    </row>
    <row r="7" spans="2:34" x14ac:dyDescent="0.3">
      <c r="B7" s="12" t="s">
        <v>26</v>
      </c>
      <c r="C7" s="3" t="s">
        <v>38</v>
      </c>
      <c r="D7" s="6">
        <v>-30</v>
      </c>
      <c r="E7" s="6">
        <v>7</v>
      </c>
      <c r="F7" s="6">
        <v>-25</v>
      </c>
      <c r="G7" s="3">
        <f>G6+E7</f>
        <v>7</v>
      </c>
      <c r="H7" s="7">
        <f>H6+D7+G7</f>
        <v>37</v>
      </c>
      <c r="I7" s="8">
        <f>I6+F7</f>
        <v>35</v>
      </c>
      <c r="K7" s="12" t="s">
        <v>1</v>
      </c>
      <c r="L7" s="3" t="s">
        <v>38</v>
      </c>
      <c r="M7" s="6">
        <v>-30</v>
      </c>
      <c r="N7" s="6">
        <v>7</v>
      </c>
      <c r="O7" s="6">
        <v>-25</v>
      </c>
      <c r="P7" s="3">
        <f>P6+N7</f>
        <v>7</v>
      </c>
      <c r="Q7" s="7">
        <f>Q6+M7+P7</f>
        <v>37</v>
      </c>
      <c r="R7" s="8">
        <f>R6+O7</f>
        <v>35</v>
      </c>
      <c r="T7" s="12" t="s">
        <v>1</v>
      </c>
      <c r="U7" s="3" t="s">
        <v>39</v>
      </c>
      <c r="V7" s="6">
        <v>-30</v>
      </c>
      <c r="W7" s="6">
        <v>5</v>
      </c>
      <c r="X7" s="6">
        <v>-10</v>
      </c>
      <c r="Y7" s="3">
        <f>Y6+W7</f>
        <v>5</v>
      </c>
      <c r="Z7" s="7">
        <f>Z6+V7+Y7</f>
        <v>35</v>
      </c>
      <c r="AA7" s="8">
        <f>AA6+X7</f>
        <v>50</v>
      </c>
      <c r="AC7" s="12" t="s">
        <v>1</v>
      </c>
      <c r="AD7" s="26"/>
      <c r="AE7" s="26"/>
      <c r="AF7" s="25">
        <f>AF6+AE7</f>
        <v>100</v>
      </c>
      <c r="AG7" s="3">
        <f t="shared" si="0"/>
        <v>109</v>
      </c>
      <c r="AH7" s="30">
        <f t="shared" si="0"/>
        <v>120</v>
      </c>
    </row>
    <row r="8" spans="2:34" x14ac:dyDescent="0.3">
      <c r="B8" s="12" t="s">
        <v>27</v>
      </c>
      <c r="C8" s="3" t="s">
        <v>39</v>
      </c>
      <c r="D8" s="6">
        <v>-15</v>
      </c>
      <c r="E8" s="6">
        <v>5</v>
      </c>
      <c r="F8" s="6">
        <v>0</v>
      </c>
      <c r="G8" s="3">
        <f t="shared" ref="G8:G25" si="1">G7+E8</f>
        <v>12</v>
      </c>
      <c r="H8" s="7">
        <f>H7+D8+G8</f>
        <v>34</v>
      </c>
      <c r="I8" s="8">
        <f>I7+F8</f>
        <v>35</v>
      </c>
      <c r="K8" s="12" t="s">
        <v>27</v>
      </c>
      <c r="L8" s="3" t="s">
        <v>40</v>
      </c>
      <c r="M8" s="6"/>
      <c r="N8" s="6"/>
      <c r="O8" s="6">
        <v>-10</v>
      </c>
      <c r="P8" s="3">
        <f t="shared" ref="P8:P25" si="2">P7+N8</f>
        <v>7</v>
      </c>
      <c r="Q8" s="7">
        <f>Q7+M8+P8</f>
        <v>44</v>
      </c>
      <c r="R8" s="8">
        <f>R7+O8</f>
        <v>25</v>
      </c>
      <c r="T8" s="12" t="s">
        <v>27</v>
      </c>
      <c r="U8" s="3" t="s">
        <v>39</v>
      </c>
      <c r="V8" s="6">
        <v>-15</v>
      </c>
      <c r="W8" s="6">
        <v>5</v>
      </c>
      <c r="X8" s="6">
        <v>0</v>
      </c>
      <c r="Y8" s="3">
        <f t="shared" ref="Y8:Y25" si="3">Y7+W8</f>
        <v>10</v>
      </c>
      <c r="Z8" s="7">
        <f>Z7+V8+Y8</f>
        <v>30</v>
      </c>
      <c r="AA8" s="8">
        <f>AA7+X8</f>
        <v>50</v>
      </c>
      <c r="AC8" s="12" t="s">
        <v>27</v>
      </c>
      <c r="AD8" s="26"/>
      <c r="AE8" s="26"/>
      <c r="AF8" s="25">
        <f t="shared" ref="AF8:AF25" si="4">AF7+AE8</f>
        <v>100</v>
      </c>
      <c r="AG8" s="3">
        <f t="shared" si="0"/>
        <v>108</v>
      </c>
      <c r="AH8" s="30">
        <f t="shared" si="0"/>
        <v>110</v>
      </c>
    </row>
    <row r="9" spans="2:34" x14ac:dyDescent="0.3">
      <c r="B9" s="21" t="s">
        <v>17</v>
      </c>
      <c r="D9" s="6"/>
      <c r="E9" s="6"/>
      <c r="F9" s="6"/>
      <c r="G9" s="3">
        <f t="shared" si="1"/>
        <v>12</v>
      </c>
      <c r="H9" s="7">
        <f>H8+D9</f>
        <v>34</v>
      </c>
      <c r="I9" s="8">
        <f>I8+F9</f>
        <v>35</v>
      </c>
      <c r="K9" s="21" t="s">
        <v>17</v>
      </c>
      <c r="M9" s="6"/>
      <c r="N9" s="6"/>
      <c r="O9" s="6"/>
      <c r="P9" s="3">
        <f t="shared" si="2"/>
        <v>7</v>
      </c>
      <c r="Q9" s="7">
        <f>Q8+M9</f>
        <v>44</v>
      </c>
      <c r="R9" s="8">
        <f>R8+O9</f>
        <v>25</v>
      </c>
      <c r="T9" s="21" t="s">
        <v>17</v>
      </c>
      <c r="V9" s="6">
        <v>10</v>
      </c>
      <c r="W9" s="6"/>
      <c r="X9" s="6"/>
      <c r="Y9" s="3">
        <f t="shared" si="3"/>
        <v>10</v>
      </c>
      <c r="Z9" s="7">
        <f>Z8+V9</f>
        <v>40</v>
      </c>
      <c r="AA9" s="8">
        <f>AA8+X9</f>
        <v>50</v>
      </c>
      <c r="AC9" s="21" t="s">
        <v>17</v>
      </c>
      <c r="AD9" s="27"/>
      <c r="AE9" s="34">
        <v>-10</v>
      </c>
      <c r="AF9" s="25">
        <f t="shared" si="4"/>
        <v>90</v>
      </c>
      <c r="AG9" s="3">
        <f t="shared" si="0"/>
        <v>118</v>
      </c>
      <c r="AH9" s="30">
        <f t="shared" si="0"/>
        <v>110</v>
      </c>
    </row>
    <row r="10" spans="2:34" x14ac:dyDescent="0.3">
      <c r="B10" s="12" t="s">
        <v>28</v>
      </c>
      <c r="C10" s="3" t="s">
        <v>41</v>
      </c>
      <c r="D10" s="6"/>
      <c r="E10" s="6"/>
      <c r="F10" s="6">
        <v>5</v>
      </c>
      <c r="G10" s="3">
        <f t="shared" ref="G10:G11" si="5">G9+E10</f>
        <v>12</v>
      </c>
      <c r="H10" s="7">
        <f>H9+D10+G10</f>
        <v>46</v>
      </c>
      <c r="I10" s="8">
        <f>I9+F10</f>
        <v>40</v>
      </c>
      <c r="K10" s="12" t="s">
        <v>28</v>
      </c>
      <c r="L10" s="3" t="s">
        <v>39</v>
      </c>
      <c r="M10" s="6">
        <v>-10</v>
      </c>
      <c r="N10" s="6"/>
      <c r="O10" s="6">
        <v>-10</v>
      </c>
      <c r="P10" s="3">
        <f t="shared" si="2"/>
        <v>7</v>
      </c>
      <c r="Q10" s="7">
        <f>Q9+M10+P10</f>
        <v>41</v>
      </c>
      <c r="R10" s="8">
        <f>R9+O10</f>
        <v>15</v>
      </c>
      <c r="T10" s="12" t="s">
        <v>28</v>
      </c>
      <c r="U10" s="3" t="s">
        <v>39</v>
      </c>
      <c r="V10" s="6">
        <v>-10</v>
      </c>
      <c r="W10" s="6"/>
      <c r="X10" s="6">
        <v>-10</v>
      </c>
      <c r="Y10" s="3">
        <f t="shared" si="3"/>
        <v>10</v>
      </c>
      <c r="Z10" s="7">
        <f>Z9+V10+Y10</f>
        <v>40</v>
      </c>
      <c r="AA10" s="8">
        <f>AA9+X10</f>
        <v>40</v>
      </c>
      <c r="AC10" s="12" t="s">
        <v>28</v>
      </c>
      <c r="AD10" s="26"/>
      <c r="AE10" s="26"/>
      <c r="AF10" s="25">
        <f t="shared" si="4"/>
        <v>90</v>
      </c>
      <c r="AG10" s="3">
        <f t="shared" si="0"/>
        <v>127</v>
      </c>
      <c r="AH10" s="30">
        <f t="shared" si="0"/>
        <v>95</v>
      </c>
    </row>
    <row r="11" spans="2:34" x14ac:dyDescent="0.3">
      <c r="B11" s="21" t="s">
        <v>37</v>
      </c>
      <c r="D11" s="6"/>
      <c r="E11" s="6"/>
      <c r="F11" s="6"/>
      <c r="G11" s="3">
        <f t="shared" si="5"/>
        <v>12</v>
      </c>
      <c r="H11" s="7">
        <f>H10+D11</f>
        <v>46</v>
      </c>
      <c r="I11" s="8">
        <f>I10+F11</f>
        <v>40</v>
      </c>
      <c r="K11" s="21" t="s">
        <v>37</v>
      </c>
      <c r="M11" s="6">
        <v>-10</v>
      </c>
      <c r="N11" s="6"/>
      <c r="O11" s="6"/>
      <c r="P11" s="3">
        <f t="shared" si="2"/>
        <v>7</v>
      </c>
      <c r="Q11" s="7">
        <f>Q10+M11</f>
        <v>31</v>
      </c>
      <c r="R11" s="8">
        <f>R10+O11</f>
        <v>15</v>
      </c>
      <c r="T11" s="21" t="s">
        <v>37</v>
      </c>
      <c r="V11" s="6">
        <v>-10</v>
      </c>
      <c r="W11" s="6"/>
      <c r="X11" s="6"/>
      <c r="Y11" s="3">
        <f t="shared" si="3"/>
        <v>10</v>
      </c>
      <c r="Z11" s="7">
        <f>Z10+V11</f>
        <v>30</v>
      </c>
      <c r="AA11" s="8">
        <f>AA10+X11</f>
        <v>40</v>
      </c>
      <c r="AC11" s="21" t="s">
        <v>37</v>
      </c>
      <c r="AD11" s="27"/>
      <c r="AE11" s="26"/>
      <c r="AF11" s="25">
        <f t="shared" si="4"/>
        <v>90</v>
      </c>
      <c r="AG11" s="3">
        <f t="shared" ref="AG11" si="6">SUM(H11,Q11,Z11)</f>
        <v>107</v>
      </c>
      <c r="AH11" s="30">
        <f t="shared" ref="AH11" si="7">SUM(I11,R11,AA11)</f>
        <v>95</v>
      </c>
    </row>
    <row r="12" spans="2:34" x14ac:dyDescent="0.3">
      <c r="B12" s="22" t="s">
        <v>29</v>
      </c>
      <c r="D12" s="6">
        <v>-10</v>
      </c>
      <c r="E12" s="6"/>
      <c r="F12" s="6"/>
      <c r="G12" s="3">
        <f>G10+E12</f>
        <v>12</v>
      </c>
      <c r="H12" s="7">
        <f>H10+D12</f>
        <v>36</v>
      </c>
      <c r="I12" s="8">
        <f>I10+F12</f>
        <v>40</v>
      </c>
      <c r="K12" s="22" t="s">
        <v>29</v>
      </c>
      <c r="M12" s="6">
        <v>-10</v>
      </c>
      <c r="N12" s="6"/>
      <c r="O12" s="6"/>
      <c r="P12" s="3">
        <f>P10+N12</f>
        <v>7</v>
      </c>
      <c r="Q12" s="7">
        <f>Q10+M12</f>
        <v>31</v>
      </c>
      <c r="R12" s="8">
        <f>R10+O12</f>
        <v>15</v>
      </c>
      <c r="T12" s="22" t="s">
        <v>29</v>
      </c>
      <c r="V12" s="6">
        <v>-10</v>
      </c>
      <c r="W12" s="6"/>
      <c r="X12" s="6"/>
      <c r="Y12" s="3">
        <f>Y10+W12</f>
        <v>10</v>
      </c>
      <c r="Z12" s="7">
        <f>Z10+V12</f>
        <v>30</v>
      </c>
      <c r="AA12" s="8">
        <f>AA10+X12</f>
        <v>40</v>
      </c>
      <c r="AC12" s="22" t="s">
        <v>29</v>
      </c>
      <c r="AD12" s="28"/>
      <c r="AE12" s="26"/>
      <c r="AF12" s="25">
        <f t="shared" si="4"/>
        <v>90</v>
      </c>
      <c r="AG12" s="3">
        <f t="shared" ref="AG12:AH19" si="8">SUM(H12,Q12,Z12)</f>
        <v>97</v>
      </c>
      <c r="AH12" s="30">
        <f t="shared" si="8"/>
        <v>95</v>
      </c>
    </row>
    <row r="13" spans="2:34" x14ac:dyDescent="0.3">
      <c r="B13" s="12" t="s">
        <v>30</v>
      </c>
      <c r="C13" s="3" t="s">
        <v>41</v>
      </c>
      <c r="D13" s="6">
        <v>-20</v>
      </c>
      <c r="E13" s="6">
        <v>2</v>
      </c>
      <c r="F13" s="6">
        <v>10</v>
      </c>
      <c r="G13" s="3">
        <f t="shared" si="1"/>
        <v>14</v>
      </c>
      <c r="H13" s="7">
        <f t="shared" ref="H13:H15" si="9">H12+D13+G13</f>
        <v>30</v>
      </c>
      <c r="I13" s="8">
        <f t="shared" ref="I13:I25" si="10">I12+F13</f>
        <v>50</v>
      </c>
      <c r="K13" s="12" t="s">
        <v>30</v>
      </c>
      <c r="L13" s="3" t="s">
        <v>41</v>
      </c>
      <c r="M13" s="6">
        <v>-20</v>
      </c>
      <c r="N13" s="6">
        <v>2</v>
      </c>
      <c r="O13" s="6">
        <v>10</v>
      </c>
      <c r="P13" s="3">
        <f t="shared" si="2"/>
        <v>9</v>
      </c>
      <c r="Q13" s="7">
        <f t="shared" ref="Q13:Q18" si="11">Q12+M13+P13</f>
        <v>20</v>
      </c>
      <c r="R13" s="8">
        <f t="shared" ref="R13:R25" si="12">R12+O13</f>
        <v>25</v>
      </c>
      <c r="T13" s="12" t="s">
        <v>30</v>
      </c>
      <c r="U13" s="3" t="s">
        <v>41</v>
      </c>
      <c r="V13" s="6">
        <v>-20</v>
      </c>
      <c r="W13" s="6">
        <v>2</v>
      </c>
      <c r="X13" s="6">
        <v>10</v>
      </c>
      <c r="Y13" s="3">
        <f t="shared" si="3"/>
        <v>12</v>
      </c>
      <c r="Z13" s="7">
        <f t="shared" ref="Z13:Z18" si="13">Z12+V13+Y13</f>
        <v>22</v>
      </c>
      <c r="AA13" s="8">
        <f t="shared" ref="AA13:AA25" si="14">AA12+X13</f>
        <v>50</v>
      </c>
      <c r="AC13" s="12" t="s">
        <v>30</v>
      </c>
      <c r="AD13" s="26"/>
      <c r="AE13" s="26"/>
      <c r="AF13" s="25">
        <f t="shared" si="4"/>
        <v>90</v>
      </c>
      <c r="AG13" s="3">
        <f t="shared" si="8"/>
        <v>72</v>
      </c>
      <c r="AH13" s="30">
        <f t="shared" si="8"/>
        <v>125</v>
      </c>
    </row>
    <row r="14" spans="2:34" x14ac:dyDescent="0.3">
      <c r="B14" s="12" t="s">
        <v>31</v>
      </c>
      <c r="D14" s="6"/>
      <c r="E14" s="6">
        <v>2</v>
      </c>
      <c r="F14" s="6"/>
      <c r="G14" s="3">
        <f t="shared" si="1"/>
        <v>16</v>
      </c>
      <c r="H14" s="7">
        <f t="shared" si="9"/>
        <v>46</v>
      </c>
      <c r="I14" s="8">
        <f t="shared" si="10"/>
        <v>50</v>
      </c>
      <c r="K14" s="12" t="s">
        <v>31</v>
      </c>
      <c r="M14" s="6"/>
      <c r="N14" s="6">
        <v>2</v>
      </c>
      <c r="O14" s="6"/>
      <c r="P14" s="3">
        <f t="shared" si="2"/>
        <v>11</v>
      </c>
      <c r="Q14" s="7">
        <f t="shared" si="11"/>
        <v>31</v>
      </c>
      <c r="R14" s="8">
        <f t="shared" si="12"/>
        <v>25</v>
      </c>
      <c r="T14" s="12" t="s">
        <v>31</v>
      </c>
      <c r="V14" s="6"/>
      <c r="W14" s="6">
        <v>2</v>
      </c>
      <c r="X14" s="6"/>
      <c r="Y14" s="3">
        <f t="shared" si="3"/>
        <v>14</v>
      </c>
      <c r="Z14" s="7">
        <f t="shared" si="13"/>
        <v>36</v>
      </c>
      <c r="AA14" s="8">
        <f t="shared" si="14"/>
        <v>50</v>
      </c>
      <c r="AC14" s="12" t="s">
        <v>31</v>
      </c>
      <c r="AD14" s="26"/>
      <c r="AE14" s="26"/>
      <c r="AF14" s="25">
        <f t="shared" si="4"/>
        <v>90</v>
      </c>
      <c r="AG14" s="3">
        <f t="shared" si="8"/>
        <v>113</v>
      </c>
      <c r="AH14" s="30">
        <f t="shared" si="8"/>
        <v>125</v>
      </c>
    </row>
    <row r="15" spans="2:34" x14ac:dyDescent="0.3">
      <c r="B15" s="12" t="s">
        <v>32</v>
      </c>
      <c r="C15" s="3" t="s">
        <v>41</v>
      </c>
      <c r="D15" s="6">
        <v>-30</v>
      </c>
      <c r="E15" s="6">
        <v>4</v>
      </c>
      <c r="F15" s="6">
        <v>20</v>
      </c>
      <c r="G15" s="3">
        <f t="shared" si="1"/>
        <v>20</v>
      </c>
      <c r="H15" s="7">
        <f t="shared" si="9"/>
        <v>36</v>
      </c>
      <c r="I15" s="8">
        <f t="shared" si="10"/>
        <v>70</v>
      </c>
      <c r="K15" s="12" t="s">
        <v>32</v>
      </c>
      <c r="L15" s="3" t="s">
        <v>41</v>
      </c>
      <c r="M15" s="6">
        <v>-30</v>
      </c>
      <c r="N15" s="6">
        <v>4</v>
      </c>
      <c r="O15" s="6">
        <v>20</v>
      </c>
      <c r="P15" s="3">
        <f t="shared" si="2"/>
        <v>15</v>
      </c>
      <c r="Q15" s="7">
        <f t="shared" si="11"/>
        <v>16</v>
      </c>
      <c r="R15" s="8">
        <f t="shared" si="12"/>
        <v>45</v>
      </c>
      <c r="T15" s="12" t="s">
        <v>32</v>
      </c>
      <c r="U15" s="3" t="s">
        <v>41</v>
      </c>
      <c r="V15" s="6">
        <v>-30</v>
      </c>
      <c r="W15" s="6">
        <v>4</v>
      </c>
      <c r="X15" s="6">
        <v>20</v>
      </c>
      <c r="Y15" s="3">
        <f t="shared" si="3"/>
        <v>18</v>
      </c>
      <c r="Z15" s="7">
        <f t="shared" si="13"/>
        <v>24</v>
      </c>
      <c r="AA15" s="8">
        <f t="shared" si="14"/>
        <v>70</v>
      </c>
      <c r="AC15" s="12" t="s">
        <v>32</v>
      </c>
      <c r="AD15" s="26"/>
      <c r="AE15" s="26"/>
      <c r="AF15" s="25">
        <f t="shared" si="4"/>
        <v>90</v>
      </c>
      <c r="AG15" s="3">
        <f t="shared" si="8"/>
        <v>76</v>
      </c>
      <c r="AH15" s="30">
        <f t="shared" si="8"/>
        <v>185</v>
      </c>
    </row>
    <row r="16" spans="2:34" x14ac:dyDescent="0.3">
      <c r="B16" s="12" t="s">
        <v>33</v>
      </c>
      <c r="C16" s="3" t="s">
        <v>39</v>
      </c>
      <c r="D16" s="6">
        <v>-20</v>
      </c>
      <c r="E16" s="6">
        <v>4</v>
      </c>
      <c r="F16" s="6">
        <v>10</v>
      </c>
      <c r="G16" s="3">
        <f t="shared" si="1"/>
        <v>24</v>
      </c>
      <c r="H16" s="7">
        <f>H15+D16+G16</f>
        <v>40</v>
      </c>
      <c r="I16" s="8">
        <f t="shared" si="10"/>
        <v>80</v>
      </c>
      <c r="K16" s="12" t="s">
        <v>33</v>
      </c>
      <c r="L16" s="3" t="s">
        <v>39</v>
      </c>
      <c r="M16" s="6">
        <v>-20</v>
      </c>
      <c r="N16" s="6">
        <v>4</v>
      </c>
      <c r="O16" s="6">
        <v>10</v>
      </c>
      <c r="P16" s="3">
        <f t="shared" si="2"/>
        <v>19</v>
      </c>
      <c r="Q16" s="7">
        <f t="shared" si="11"/>
        <v>15</v>
      </c>
      <c r="R16" s="8">
        <f t="shared" si="12"/>
        <v>55</v>
      </c>
      <c r="T16" s="12" t="s">
        <v>33</v>
      </c>
      <c r="U16" s="3" t="s">
        <v>39</v>
      </c>
      <c r="V16" s="6">
        <v>-20</v>
      </c>
      <c r="W16" s="6">
        <v>4</v>
      </c>
      <c r="X16" s="6">
        <v>10</v>
      </c>
      <c r="Y16" s="3">
        <f t="shared" si="3"/>
        <v>22</v>
      </c>
      <c r="Z16" s="7">
        <f t="shared" si="13"/>
        <v>26</v>
      </c>
      <c r="AA16" s="8">
        <f t="shared" si="14"/>
        <v>80</v>
      </c>
      <c r="AC16" s="12" t="s">
        <v>33</v>
      </c>
      <c r="AD16" s="26"/>
      <c r="AE16" s="26"/>
      <c r="AF16" s="25">
        <f t="shared" si="4"/>
        <v>90</v>
      </c>
      <c r="AG16" s="3">
        <f t="shared" si="8"/>
        <v>81</v>
      </c>
      <c r="AH16" s="30">
        <f t="shared" si="8"/>
        <v>215</v>
      </c>
    </row>
    <row r="17" spans="2:34" x14ac:dyDescent="0.3">
      <c r="B17" s="21" t="s">
        <v>13</v>
      </c>
      <c r="D17" s="6">
        <v>20</v>
      </c>
      <c r="E17" s="6"/>
      <c r="F17" s="6"/>
      <c r="G17" s="3">
        <f t="shared" si="1"/>
        <v>24</v>
      </c>
      <c r="H17" s="7">
        <f>H16+D17</f>
        <v>60</v>
      </c>
      <c r="I17" s="8">
        <f t="shared" si="10"/>
        <v>80</v>
      </c>
      <c r="K17" s="21" t="s">
        <v>13</v>
      </c>
      <c r="M17" s="6"/>
      <c r="N17" s="6"/>
      <c r="O17" s="6"/>
      <c r="P17" s="3">
        <f t="shared" si="2"/>
        <v>19</v>
      </c>
      <c r="Q17" s="7">
        <f>Q16+M17</f>
        <v>15</v>
      </c>
      <c r="R17" s="8">
        <f t="shared" si="12"/>
        <v>55</v>
      </c>
      <c r="T17" s="21" t="s">
        <v>13</v>
      </c>
      <c r="V17" s="6">
        <v>20</v>
      </c>
      <c r="W17" s="6"/>
      <c r="X17" s="6"/>
      <c r="Y17" s="3">
        <f t="shared" si="3"/>
        <v>22</v>
      </c>
      <c r="Z17" s="7">
        <f>Z16+V17</f>
        <v>46</v>
      </c>
      <c r="AA17" s="8">
        <f t="shared" si="14"/>
        <v>80</v>
      </c>
      <c r="AC17" s="21" t="s">
        <v>13</v>
      </c>
      <c r="AD17" s="27"/>
      <c r="AE17" s="34">
        <v>-40</v>
      </c>
      <c r="AF17" s="25">
        <f t="shared" si="4"/>
        <v>50</v>
      </c>
      <c r="AG17" s="3">
        <f t="shared" si="8"/>
        <v>121</v>
      </c>
      <c r="AH17" s="30">
        <f t="shared" si="8"/>
        <v>215</v>
      </c>
    </row>
    <row r="18" spans="2:34" x14ac:dyDescent="0.3">
      <c r="B18" s="12" t="s">
        <v>34</v>
      </c>
      <c r="C18" s="3" t="s">
        <v>39</v>
      </c>
      <c r="D18" s="6"/>
      <c r="E18" s="6"/>
      <c r="F18" s="6"/>
      <c r="G18" s="3">
        <f t="shared" si="1"/>
        <v>24</v>
      </c>
      <c r="H18" s="7">
        <f>H17+D18+G18</f>
        <v>84</v>
      </c>
      <c r="I18" s="8">
        <f t="shared" si="10"/>
        <v>80</v>
      </c>
      <c r="K18" s="12" t="s">
        <v>34</v>
      </c>
      <c r="L18" s="3" t="s">
        <v>39</v>
      </c>
      <c r="M18" s="6"/>
      <c r="N18" s="6"/>
      <c r="O18" s="6"/>
      <c r="P18" s="3">
        <f t="shared" si="2"/>
        <v>19</v>
      </c>
      <c r="Q18" s="7">
        <f t="shared" si="11"/>
        <v>34</v>
      </c>
      <c r="R18" s="8">
        <f t="shared" si="12"/>
        <v>55</v>
      </c>
      <c r="T18" s="12" t="s">
        <v>34</v>
      </c>
      <c r="U18" s="3" t="s">
        <v>39</v>
      </c>
      <c r="V18" s="6"/>
      <c r="W18" s="6"/>
      <c r="X18" s="6"/>
      <c r="Y18" s="3">
        <f t="shared" si="3"/>
        <v>22</v>
      </c>
      <c r="Z18" s="7">
        <f t="shared" si="13"/>
        <v>68</v>
      </c>
      <c r="AA18" s="8">
        <f t="shared" si="14"/>
        <v>80</v>
      </c>
      <c r="AC18" s="12" t="s">
        <v>34</v>
      </c>
      <c r="AD18" s="26"/>
      <c r="AE18" s="26"/>
      <c r="AF18" s="25">
        <f t="shared" si="4"/>
        <v>50</v>
      </c>
      <c r="AG18" s="3">
        <f t="shared" si="8"/>
        <v>186</v>
      </c>
      <c r="AH18" s="30">
        <f t="shared" si="8"/>
        <v>215</v>
      </c>
    </row>
    <row r="19" spans="2:34" x14ac:dyDescent="0.3">
      <c r="B19" s="21" t="s">
        <v>35</v>
      </c>
      <c r="D19" s="6">
        <v>10</v>
      </c>
      <c r="E19" s="6"/>
      <c r="F19" s="6"/>
      <c r="G19" s="3">
        <f t="shared" si="1"/>
        <v>24</v>
      </c>
      <c r="H19" s="7">
        <f>H18+D19</f>
        <v>94</v>
      </c>
      <c r="I19" s="8">
        <f t="shared" si="10"/>
        <v>80</v>
      </c>
      <c r="K19" s="21" t="s">
        <v>35</v>
      </c>
      <c r="M19" s="6">
        <v>10</v>
      </c>
      <c r="N19" s="6"/>
      <c r="O19" s="6"/>
      <c r="P19" s="3">
        <f t="shared" si="2"/>
        <v>19</v>
      </c>
      <c r="Q19" s="7">
        <f>Q18+M19</f>
        <v>44</v>
      </c>
      <c r="R19" s="8">
        <f t="shared" si="12"/>
        <v>55</v>
      </c>
      <c r="T19" s="21" t="s">
        <v>35</v>
      </c>
      <c r="V19" s="6">
        <v>10</v>
      </c>
      <c r="W19" s="6"/>
      <c r="X19" s="6"/>
      <c r="Y19" s="3">
        <f t="shared" si="3"/>
        <v>22</v>
      </c>
      <c r="Z19" s="7">
        <f>Z18+V19</f>
        <v>78</v>
      </c>
      <c r="AA19" s="8">
        <f t="shared" si="14"/>
        <v>80</v>
      </c>
      <c r="AC19" s="21" t="s">
        <v>35</v>
      </c>
      <c r="AD19" s="27"/>
      <c r="AE19" s="34">
        <v>-30</v>
      </c>
      <c r="AF19" s="25">
        <f t="shared" si="4"/>
        <v>20</v>
      </c>
      <c r="AG19" s="3">
        <f t="shared" si="8"/>
        <v>216</v>
      </c>
      <c r="AH19" s="30">
        <f t="shared" si="8"/>
        <v>215</v>
      </c>
    </row>
    <row r="20" spans="2:34" x14ac:dyDescent="0.3">
      <c r="B20" s="21" t="s">
        <v>35</v>
      </c>
      <c r="D20" s="6">
        <v>10</v>
      </c>
      <c r="E20" s="6"/>
      <c r="F20" s="6"/>
      <c r="G20" s="3">
        <f t="shared" ref="G20" si="15">G19+E20</f>
        <v>24</v>
      </c>
      <c r="H20" s="7">
        <f>H19+D20</f>
        <v>104</v>
      </c>
      <c r="I20" s="8">
        <f t="shared" ref="I20" si="16">I19+F20</f>
        <v>80</v>
      </c>
      <c r="K20" s="21" t="s">
        <v>35</v>
      </c>
      <c r="M20" s="6">
        <v>10</v>
      </c>
      <c r="N20" s="6"/>
      <c r="O20" s="6"/>
      <c r="P20" s="3">
        <f t="shared" ref="P20" si="17">P19+N20</f>
        <v>19</v>
      </c>
      <c r="Q20" s="7">
        <f>Q19+M20</f>
        <v>54</v>
      </c>
      <c r="R20" s="8">
        <f t="shared" ref="R20" si="18">R19+O20</f>
        <v>55</v>
      </c>
      <c r="T20" s="21" t="s">
        <v>35</v>
      </c>
      <c r="V20" s="6">
        <v>10</v>
      </c>
      <c r="W20" s="6"/>
      <c r="X20" s="6"/>
      <c r="Y20" s="3">
        <f t="shared" ref="Y20" si="19">Y19+W20</f>
        <v>22</v>
      </c>
      <c r="Z20" s="7">
        <f>Z19+V20</f>
        <v>88</v>
      </c>
      <c r="AA20" s="8">
        <f t="shared" ref="AA20" si="20">AA19+X20</f>
        <v>80</v>
      </c>
      <c r="AC20" s="21" t="s">
        <v>35</v>
      </c>
      <c r="AD20" s="27"/>
      <c r="AE20" s="26"/>
      <c r="AF20" s="25">
        <f t="shared" si="4"/>
        <v>20</v>
      </c>
      <c r="AG20" s="3">
        <f t="shared" ref="AG20" si="21">SUM(H20,Q20,Z20)</f>
        <v>246</v>
      </c>
      <c r="AH20" s="30">
        <f t="shared" ref="AH20" si="22">SUM(I20,R20,AA20)</f>
        <v>215</v>
      </c>
    </row>
    <row r="21" spans="2:34" x14ac:dyDescent="0.3">
      <c r="B21" s="12" t="s">
        <v>36</v>
      </c>
      <c r="D21" s="6"/>
      <c r="E21" s="6"/>
      <c r="F21" s="6"/>
      <c r="G21" s="3">
        <f>G20+E21</f>
        <v>24</v>
      </c>
      <c r="H21" s="7">
        <f>H20+D21+G21</f>
        <v>128</v>
      </c>
      <c r="I21" s="8">
        <f>I20+F21</f>
        <v>80</v>
      </c>
      <c r="K21" s="12" t="s">
        <v>36</v>
      </c>
      <c r="M21" s="6"/>
      <c r="N21" s="6"/>
      <c r="O21" s="6"/>
      <c r="P21" s="3">
        <f>P20+N21</f>
        <v>19</v>
      </c>
      <c r="Q21" s="7">
        <f>Q20+M21+P21</f>
        <v>73</v>
      </c>
      <c r="R21" s="8">
        <f>R20+O21</f>
        <v>55</v>
      </c>
      <c r="T21" s="12" t="s">
        <v>36</v>
      </c>
      <c r="V21" s="6"/>
      <c r="W21" s="6"/>
      <c r="X21" s="6"/>
      <c r="Y21" s="3">
        <f>Y20+W21</f>
        <v>22</v>
      </c>
      <c r="Z21" s="7">
        <f>Z20+V21+Y21</f>
        <v>110</v>
      </c>
      <c r="AA21" s="8">
        <f>AA20+X21</f>
        <v>80</v>
      </c>
      <c r="AC21" s="12" t="s">
        <v>36</v>
      </c>
      <c r="AD21" s="26"/>
      <c r="AE21" s="26"/>
      <c r="AF21" s="25">
        <f>AF20+AE21</f>
        <v>20</v>
      </c>
      <c r="AG21" s="3">
        <f t="shared" ref="AG21:AH25" si="23">SUM(H21,Q21,Z21)</f>
        <v>311</v>
      </c>
      <c r="AH21" s="30">
        <f t="shared" si="23"/>
        <v>215</v>
      </c>
    </row>
    <row r="22" spans="2:34" x14ac:dyDescent="0.3">
      <c r="B22" s="12" t="s">
        <v>14</v>
      </c>
      <c r="D22" s="6"/>
      <c r="E22" s="6"/>
      <c r="F22" s="6"/>
      <c r="G22" s="3">
        <f t="shared" si="1"/>
        <v>24</v>
      </c>
      <c r="H22" s="7">
        <f>H21+D22+G22</f>
        <v>152</v>
      </c>
      <c r="I22" s="8">
        <f t="shared" si="10"/>
        <v>80</v>
      </c>
      <c r="K22" s="12" t="s">
        <v>14</v>
      </c>
      <c r="M22" s="6"/>
      <c r="N22" s="6"/>
      <c r="O22" s="6"/>
      <c r="P22" s="3">
        <f t="shared" si="2"/>
        <v>19</v>
      </c>
      <c r="Q22" s="7">
        <f>Q21+M22+P22</f>
        <v>92</v>
      </c>
      <c r="R22" s="8">
        <f t="shared" si="12"/>
        <v>55</v>
      </c>
      <c r="T22" s="12" t="s">
        <v>14</v>
      </c>
      <c r="V22" s="6"/>
      <c r="W22" s="6"/>
      <c r="X22" s="6"/>
      <c r="Y22" s="3">
        <f t="shared" si="3"/>
        <v>22</v>
      </c>
      <c r="Z22" s="7">
        <f>Z21+V22+Y22</f>
        <v>132</v>
      </c>
      <c r="AA22" s="8">
        <f t="shared" si="14"/>
        <v>80</v>
      </c>
      <c r="AC22" s="12" t="s">
        <v>14</v>
      </c>
      <c r="AD22" s="26"/>
      <c r="AE22" s="26"/>
      <c r="AF22" s="25">
        <f t="shared" si="4"/>
        <v>20</v>
      </c>
      <c r="AG22" s="3">
        <f t="shared" si="23"/>
        <v>376</v>
      </c>
      <c r="AH22" s="30">
        <f t="shared" si="23"/>
        <v>215</v>
      </c>
    </row>
    <row r="23" spans="2:34" x14ac:dyDescent="0.3">
      <c r="B23" s="21" t="s">
        <v>20</v>
      </c>
      <c r="D23" s="6">
        <v>10</v>
      </c>
      <c r="E23" s="6"/>
      <c r="F23" s="6"/>
      <c r="G23" s="3">
        <f t="shared" si="1"/>
        <v>24</v>
      </c>
      <c r="H23" s="7">
        <f>H22+D23</f>
        <v>162</v>
      </c>
      <c r="I23" s="8">
        <f t="shared" si="10"/>
        <v>80</v>
      </c>
      <c r="K23" s="21" t="s">
        <v>20</v>
      </c>
      <c r="M23" s="6"/>
      <c r="N23" s="6"/>
      <c r="O23" s="6"/>
      <c r="P23" s="3">
        <f t="shared" si="2"/>
        <v>19</v>
      </c>
      <c r="Q23" s="7">
        <f>Q22+M23</f>
        <v>92</v>
      </c>
      <c r="R23" s="8">
        <f t="shared" si="12"/>
        <v>55</v>
      </c>
      <c r="T23" s="21" t="s">
        <v>20</v>
      </c>
      <c r="V23" s="6">
        <v>10</v>
      </c>
      <c r="W23" s="6"/>
      <c r="X23" s="6"/>
      <c r="Y23" s="3">
        <f t="shared" si="3"/>
        <v>22</v>
      </c>
      <c r="Z23" s="7">
        <f>Z22+V23</f>
        <v>142</v>
      </c>
      <c r="AA23" s="8">
        <f t="shared" si="14"/>
        <v>80</v>
      </c>
      <c r="AC23" s="21" t="s">
        <v>20</v>
      </c>
      <c r="AD23" s="27"/>
      <c r="AE23" s="34">
        <v>-20</v>
      </c>
      <c r="AF23" s="25">
        <f t="shared" si="4"/>
        <v>0</v>
      </c>
      <c r="AG23" s="3">
        <f t="shared" si="23"/>
        <v>396</v>
      </c>
      <c r="AH23" s="30">
        <f t="shared" si="23"/>
        <v>215</v>
      </c>
    </row>
    <row r="24" spans="2:34" x14ac:dyDescent="0.3">
      <c r="B24" s="21" t="s">
        <v>19</v>
      </c>
      <c r="D24" s="6"/>
      <c r="E24" s="6"/>
      <c r="F24" s="6"/>
      <c r="G24" s="3">
        <f t="shared" si="1"/>
        <v>24</v>
      </c>
      <c r="H24" s="7">
        <f>H23+D24</f>
        <v>162</v>
      </c>
      <c r="I24" s="8">
        <f t="shared" si="10"/>
        <v>80</v>
      </c>
      <c r="K24" s="21" t="s">
        <v>15</v>
      </c>
      <c r="L24" s="3" t="s">
        <v>40</v>
      </c>
      <c r="M24" s="6">
        <v>-20</v>
      </c>
      <c r="N24" s="6"/>
      <c r="O24" s="6">
        <v>20</v>
      </c>
      <c r="P24" s="3">
        <f t="shared" si="2"/>
        <v>19</v>
      </c>
      <c r="Q24" s="7">
        <f>Q23+M24</f>
        <v>72</v>
      </c>
      <c r="R24" s="8">
        <f t="shared" si="12"/>
        <v>75</v>
      </c>
      <c r="T24" s="21" t="s">
        <v>15</v>
      </c>
      <c r="V24" s="6"/>
      <c r="W24" s="6"/>
      <c r="X24" s="6"/>
      <c r="Y24" s="3">
        <f t="shared" si="3"/>
        <v>22</v>
      </c>
      <c r="Z24" s="7">
        <f>Z23+V24</f>
        <v>142</v>
      </c>
      <c r="AA24" s="8">
        <f t="shared" si="14"/>
        <v>80</v>
      </c>
      <c r="AC24" s="21" t="s">
        <v>15</v>
      </c>
      <c r="AD24" s="27"/>
      <c r="AE24" s="34"/>
      <c r="AF24" s="25">
        <f t="shared" si="4"/>
        <v>0</v>
      </c>
      <c r="AG24" s="3">
        <f t="shared" si="23"/>
        <v>376</v>
      </c>
      <c r="AH24" s="30">
        <f t="shared" si="23"/>
        <v>235</v>
      </c>
    </row>
    <row r="25" spans="2:34" x14ac:dyDescent="0.3">
      <c r="B25" s="12" t="s">
        <v>16</v>
      </c>
      <c r="C25" s="3" t="s">
        <v>39</v>
      </c>
      <c r="D25" s="6">
        <v>-20</v>
      </c>
      <c r="E25" s="6"/>
      <c r="F25" s="6">
        <v>10</v>
      </c>
      <c r="G25" s="3">
        <f t="shared" si="1"/>
        <v>24</v>
      </c>
      <c r="H25" s="7">
        <f>H24+D25+G25</f>
        <v>166</v>
      </c>
      <c r="I25" s="8">
        <f t="shared" si="10"/>
        <v>90</v>
      </c>
      <c r="K25" s="12" t="s">
        <v>16</v>
      </c>
      <c r="L25" s="3" t="s">
        <v>40</v>
      </c>
      <c r="M25" s="6"/>
      <c r="N25" s="6"/>
      <c r="O25" s="6">
        <v>-10</v>
      </c>
      <c r="P25" s="3">
        <f t="shared" si="2"/>
        <v>19</v>
      </c>
      <c r="Q25" s="7">
        <f t="shared" ref="Q25" si="24">Q24+M25+P25</f>
        <v>91</v>
      </c>
      <c r="R25" s="8">
        <f t="shared" si="12"/>
        <v>65</v>
      </c>
      <c r="T25" s="12" t="s">
        <v>16</v>
      </c>
      <c r="U25" s="3" t="s">
        <v>40</v>
      </c>
      <c r="V25" s="6"/>
      <c r="W25" s="6"/>
      <c r="X25" s="6">
        <v>-10</v>
      </c>
      <c r="Y25" s="3">
        <f t="shared" si="3"/>
        <v>22</v>
      </c>
      <c r="Z25" s="7">
        <f t="shared" ref="Z25" si="25">Z24+V25+Y25</f>
        <v>164</v>
      </c>
      <c r="AA25" s="8">
        <f t="shared" si="14"/>
        <v>70</v>
      </c>
      <c r="AC25" s="12" t="s">
        <v>16</v>
      </c>
      <c r="AD25" s="26"/>
      <c r="AE25" s="26"/>
      <c r="AF25" s="25">
        <f t="shared" si="4"/>
        <v>0</v>
      </c>
      <c r="AG25" s="3">
        <f t="shared" si="23"/>
        <v>421</v>
      </c>
      <c r="AH25" s="30">
        <f t="shared" si="23"/>
        <v>225</v>
      </c>
    </row>
    <row r="26" spans="2:34" x14ac:dyDescent="0.3">
      <c r="B26" s="12"/>
      <c r="D26" s="6"/>
      <c r="E26" s="6"/>
      <c r="F26" s="6"/>
      <c r="H26" s="7"/>
      <c r="I26" s="8"/>
      <c r="K26" s="12"/>
      <c r="M26" s="6"/>
      <c r="N26" s="6"/>
      <c r="O26" s="6"/>
      <c r="Q26" s="7"/>
      <c r="R26" s="8"/>
      <c r="T26" s="12"/>
      <c r="V26" s="6"/>
      <c r="W26" s="6"/>
      <c r="X26" s="6"/>
      <c r="Z26" s="7"/>
      <c r="AA26" s="8"/>
      <c r="AC26" s="12"/>
      <c r="AD26" s="26"/>
      <c r="AE26" s="26"/>
      <c r="AF26" s="25"/>
      <c r="AG26" s="25"/>
      <c r="AH26" s="30"/>
    </row>
    <row r="27" spans="2:34" ht="17" thickBot="1" x14ac:dyDescent="0.35">
      <c r="B27" s="16"/>
      <c r="C27" s="9"/>
      <c r="D27" s="17"/>
      <c r="E27" s="17"/>
      <c r="F27" s="17"/>
      <c r="G27" s="9"/>
      <c r="H27" s="18"/>
      <c r="I27" s="19">
        <f>H25+I25</f>
        <v>256</v>
      </c>
      <c r="K27" s="16"/>
      <c r="L27" s="9"/>
      <c r="M27" s="17"/>
      <c r="N27" s="17"/>
      <c r="O27" s="17"/>
      <c r="P27" s="9"/>
      <c r="Q27" s="18"/>
      <c r="R27" s="19">
        <f>Q25+R25</f>
        <v>156</v>
      </c>
      <c r="T27" s="16"/>
      <c r="U27" s="9"/>
      <c r="V27" s="17"/>
      <c r="W27" s="17"/>
      <c r="X27" s="17"/>
      <c r="Y27" s="9"/>
      <c r="Z27" s="18"/>
      <c r="AA27" s="19">
        <f>Z25+AA25</f>
        <v>234</v>
      </c>
      <c r="AC27" s="31"/>
      <c r="AD27" s="32"/>
      <c r="AE27" s="32"/>
      <c r="AF27" s="32"/>
      <c r="AG27" s="32"/>
      <c r="AH27" s="33"/>
    </row>
    <row r="28" spans="2:34" customFormat="1" x14ac:dyDescent="0.3">
      <c r="AB28" s="3"/>
    </row>
    <row r="29" spans="2:34" customFormat="1" x14ac:dyDescent="0.3">
      <c r="AB29" s="3"/>
    </row>
  </sheetData>
  <mergeCells count="7">
    <mergeCell ref="Y2:Y3"/>
    <mergeCell ref="AC2:AD3"/>
    <mergeCell ref="B2:D3"/>
    <mergeCell ref="G2:G3"/>
    <mergeCell ref="K2:M3"/>
    <mergeCell ref="P2:P3"/>
    <mergeCell ref="T2:V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2025-09-17T13:15:48Z</dcterms:modified>
</cp:coreProperties>
</file>